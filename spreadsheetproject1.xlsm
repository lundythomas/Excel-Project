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 Lundy\Desktop\"/>
    </mc:Choice>
  </mc:AlternateContent>
  <bookViews>
    <workbookView xWindow="0" yWindow="0" windowWidth="19440" windowHeight="7755"/>
  </bookViews>
  <sheets>
    <sheet name="INVOICE" sheetId="1" r:id="rId1"/>
    <sheet name="STOCK LIST" sheetId="2" r:id="rId2"/>
    <sheet name="CLIENT LIST" sheetId="3" r:id="rId3"/>
    <sheet name="Invoice Macro" sheetId="4" r:id="rId4"/>
  </sheets>
  <definedNames>
    <definedName name="_xlnm._FilterDatabase" localSheetId="2" hidden="1">'CLIENT LIST'!$A$1:$E$16</definedName>
    <definedName name="Client">'CLIENT LIST'!$A$2:$E$16</definedName>
    <definedName name="STOCK">'STOCK LIST'!$A$2:$C$50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" l="1"/>
  <c r="B16" i="1"/>
  <c r="B17" i="1"/>
  <c r="B18" i="1"/>
  <c r="B19" i="1"/>
  <c r="B20" i="1"/>
  <c r="B21" i="1"/>
  <c r="B22" i="1"/>
  <c r="B23" i="1"/>
  <c r="B24" i="1"/>
  <c r="B25" i="1"/>
  <c r="B26" i="1"/>
  <c r="A30" i="4" l="1"/>
  <c r="A29" i="4"/>
  <c r="B28" i="4"/>
  <c r="D26" i="4"/>
  <c r="E26" i="4" s="1"/>
  <c r="B26" i="4"/>
  <c r="D25" i="4"/>
  <c r="E25" i="4" s="1"/>
  <c r="B25" i="4"/>
  <c r="D24" i="4"/>
  <c r="E24" i="4" s="1"/>
  <c r="B24" i="4"/>
  <c r="D23" i="4"/>
  <c r="E23" i="4" s="1"/>
  <c r="B23" i="4"/>
  <c r="E22" i="4"/>
  <c r="D22" i="4"/>
  <c r="B22" i="4"/>
  <c r="D21" i="4"/>
  <c r="E21" i="4" s="1"/>
  <c r="B21" i="4"/>
  <c r="E20" i="4"/>
  <c r="D20" i="4"/>
  <c r="B20" i="4"/>
  <c r="D19" i="4"/>
  <c r="E19" i="4" s="1"/>
  <c r="B19" i="4"/>
  <c r="D18" i="4"/>
  <c r="E18" i="4" s="1"/>
  <c r="B18" i="4"/>
  <c r="D17" i="4"/>
  <c r="E17" i="4" s="1"/>
  <c r="B17" i="4"/>
  <c r="D16" i="4"/>
  <c r="E16" i="4" s="1"/>
  <c r="B16" i="4"/>
  <c r="D15" i="4"/>
  <c r="E15" i="4" s="1"/>
  <c r="B15" i="4"/>
  <c r="E14" i="4"/>
  <c r="E27" i="4" s="1"/>
  <c r="D14" i="4"/>
  <c r="B14" i="4"/>
  <c r="E11" i="4"/>
  <c r="E29" i="4" s="1"/>
  <c r="E10" i="4"/>
  <c r="B10" i="4"/>
  <c r="B8" i="4"/>
  <c r="B7" i="4"/>
  <c r="E30" i="4" l="1"/>
  <c r="E31" i="4" s="1"/>
  <c r="E28" i="4"/>
  <c r="D26" i="1"/>
  <c r="E26" i="1" s="1"/>
  <c r="E11" i="1" l="1"/>
  <c r="E29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A30" i="1"/>
  <c r="A29" i="1"/>
  <c r="B28" i="1"/>
  <c r="B10" i="1"/>
  <c r="B8" i="1"/>
  <c r="B7" i="1"/>
  <c r="B14" i="1" l="1"/>
  <c r="E10" i="1"/>
  <c r="D14" i="1"/>
  <c r="E14" i="1" l="1"/>
  <c r="E27" i="1" s="1"/>
  <c r="E30" i="1" s="1"/>
  <c r="E28" i="1" l="1"/>
  <c r="E31" i="1" l="1"/>
</calcChain>
</file>

<file path=xl/sharedStrings.xml><?xml version="1.0" encoding="utf-8"?>
<sst xmlns="http://schemas.openxmlformats.org/spreadsheetml/2006/main" count="210" uniqueCount="171">
  <si>
    <t>Product Code</t>
  </si>
  <si>
    <t>Description</t>
  </si>
  <si>
    <t>Quantity</t>
  </si>
  <si>
    <t>Unit Price</t>
  </si>
  <si>
    <t>Total</t>
  </si>
  <si>
    <t>Deliver To:</t>
  </si>
  <si>
    <t xml:space="preserve">Vat </t>
  </si>
  <si>
    <t>Delivery Charge</t>
  </si>
  <si>
    <t>Invoice Total</t>
  </si>
  <si>
    <t>Gross Value</t>
  </si>
  <si>
    <t>Price</t>
  </si>
  <si>
    <t>HKC-501</t>
  </si>
  <si>
    <t>HKC-502</t>
  </si>
  <si>
    <t>HKC-503</t>
  </si>
  <si>
    <t>HKC-504</t>
  </si>
  <si>
    <t>SECUREWATCH 8/12 ALARM PANEL</t>
  </si>
  <si>
    <t>SECUREWATCH 12/12 ALARM PANEL</t>
  </si>
  <si>
    <t>SECUREWATCH 16/120 ALARM PANEL</t>
  </si>
  <si>
    <t>SECUREWATCH REMOTE KEYPAD</t>
  </si>
  <si>
    <t>HKC-DECOY</t>
  </si>
  <si>
    <t>HKC-SABB</t>
  </si>
  <si>
    <t>HKC-SAB-CAGE</t>
  </si>
  <si>
    <t>HKC-101</t>
  </si>
  <si>
    <t>HKC-102</t>
  </si>
  <si>
    <t>HKC-103</t>
  </si>
  <si>
    <t>HKC-104</t>
  </si>
  <si>
    <t>EXTERNAL SCREENED BELLBOX DECOY</t>
  </si>
  <si>
    <t>EXTRENAL SCREENED BELLBOX WITH STROBE</t>
  </si>
  <si>
    <t>SECURITY CAGE FOR BELLBOX</t>
  </si>
  <si>
    <t>ECHO INTERNAL SIREN</t>
  </si>
  <si>
    <t>ECHO INTERNAL SIREN WITH FLASH RED</t>
  </si>
  <si>
    <t>ECHO INTERNAL SIREN WITH FLASH BLUE</t>
  </si>
  <si>
    <t>ECHO INTERNAL SIREN WITH FLASH WHITE</t>
  </si>
  <si>
    <t>HKC-401</t>
  </si>
  <si>
    <t>HKC-402</t>
  </si>
  <si>
    <t>HKC-403</t>
  </si>
  <si>
    <t>HKC-404</t>
  </si>
  <si>
    <t>HKC-405</t>
  </si>
  <si>
    <t>HKC-407</t>
  </si>
  <si>
    <t>HKC-406</t>
  </si>
  <si>
    <t>HKC-408</t>
  </si>
  <si>
    <t>SENSOR WHITE</t>
  </si>
  <si>
    <t>SENSOR BROWN</t>
  </si>
  <si>
    <t>SENSOR WHITE REED</t>
  </si>
  <si>
    <t>SENSOR BROWN REED</t>
  </si>
  <si>
    <t>ID SENSOR WHITE</t>
  </si>
  <si>
    <t>ID SENSOR BROWN</t>
  </si>
  <si>
    <t>ID SENSOR WHITE REED</t>
  </si>
  <si>
    <t>ID SENSOR BROWN REED</t>
  </si>
  <si>
    <t>HKC-441B</t>
  </si>
  <si>
    <t>JB MAG CONTACT BROWN</t>
  </si>
  <si>
    <t>HKC-442W</t>
  </si>
  <si>
    <t>JB MAG CONTACT WHITE</t>
  </si>
  <si>
    <t>HKC-701</t>
  </si>
  <si>
    <t>SECUREWATCH TEXT/DIALLER</t>
  </si>
  <si>
    <t>HKC-901</t>
  </si>
  <si>
    <t>PANIC BUTTON SINGLE PUSH</t>
  </si>
  <si>
    <t>HKC-902</t>
  </si>
  <si>
    <t>PANIC BUTTON DOUBLE PUSH</t>
  </si>
  <si>
    <t>HKC-PIR</t>
  </si>
  <si>
    <t>PIR DETECTOR</t>
  </si>
  <si>
    <t>HKC-Q-PIR</t>
  </si>
  <si>
    <t>QUAD PIR DETECTOR</t>
  </si>
  <si>
    <t>HKC-SW1070</t>
  </si>
  <si>
    <t>HYBRID ALARM PANEL</t>
  </si>
  <si>
    <t>HKC-RF-CW</t>
  </si>
  <si>
    <t>WIRELESS CONTACT WHITE</t>
  </si>
  <si>
    <t>HKC-RF-CSB</t>
  </si>
  <si>
    <t>WIRELESS CONTACT BROWN</t>
  </si>
  <si>
    <t>HKC-RF-CSW</t>
  </si>
  <si>
    <t>HKC-RF-CB</t>
  </si>
  <si>
    <t>WIRELESS CONTACT WITH INERTIA BROWN</t>
  </si>
  <si>
    <t>WIRELESS CONTACT WITH INERTIA WHITE</t>
  </si>
  <si>
    <t>HKC-RF ECHO</t>
  </si>
  <si>
    <t>WIRELESS INTERNAL SIREN</t>
  </si>
  <si>
    <t>HKC-RF-FOB</t>
  </si>
  <si>
    <t>WIRELESS KEYFOB</t>
  </si>
  <si>
    <t>HKC-RF-PIR</t>
  </si>
  <si>
    <t>WIRELESS PIR</t>
  </si>
  <si>
    <t>HKC-RF-SABB</t>
  </si>
  <si>
    <t>WIRELESS EXT SIREN/STROBE</t>
  </si>
  <si>
    <t>HKC-RKP-SL</t>
  </si>
  <si>
    <t>WIRELESS REMOTE KEYPAD</t>
  </si>
  <si>
    <t>HKC-BAT-CR123A</t>
  </si>
  <si>
    <t>3V BATTERY PACK FOR WIRELESS (10)</t>
  </si>
  <si>
    <t>HKC-RF-SD</t>
  </si>
  <si>
    <t>WIRELESS SMOKE DETECTOR</t>
  </si>
  <si>
    <t>CAB-6CB-100M</t>
  </si>
  <si>
    <t>6 CORE BROWN ALARM CABLE 100M</t>
  </si>
  <si>
    <t>CAB-6CW-100M</t>
  </si>
  <si>
    <t>6 CORE WHITE ALARM CABLE 100M</t>
  </si>
  <si>
    <t>CAB-8CW-100M</t>
  </si>
  <si>
    <t>8 CORE BROWN ALARM CABLE 100M</t>
  </si>
  <si>
    <t>CAB-8CB-100M</t>
  </si>
  <si>
    <t>8 CORE WHITE ALARM CABLE 100M</t>
  </si>
  <si>
    <t>TRNK10X8SA</t>
  </si>
  <si>
    <t>10mm X 8mm MINI TRUNKIN WHITE</t>
  </si>
  <si>
    <t>TRNK10X8SA-BROWN</t>
  </si>
  <si>
    <t>10mm X 8mm MINI TRUNKIN BROWN</t>
  </si>
  <si>
    <t>TRNK25X16SA</t>
  </si>
  <si>
    <t>25mm X 16mm MINI TRUNKIN WHITE</t>
  </si>
  <si>
    <t>TRNK25X16SA-BROWN</t>
  </si>
  <si>
    <t>25mm X 16mm MINI TRUNKIN BROWN</t>
  </si>
  <si>
    <t>HCK-GSM-Q</t>
  </si>
  <si>
    <t>GSM Q MODULE FOR SW1070</t>
  </si>
  <si>
    <t>C03</t>
  </si>
  <si>
    <t>ROLLER SHUTTER/GARAGE DOOR CONTACT</t>
  </si>
  <si>
    <t>HKC-RF-HD</t>
  </si>
  <si>
    <t>WIRELESS HEAT DETECTOR</t>
  </si>
  <si>
    <t>NAME</t>
  </si>
  <si>
    <t>ADDRESS</t>
  </si>
  <si>
    <t>TEL NO.</t>
  </si>
  <si>
    <t>Mary Smith</t>
  </si>
  <si>
    <t>John Hayes</t>
  </si>
  <si>
    <t>Richard Storey</t>
  </si>
  <si>
    <t>Jane Bloggs</t>
  </si>
  <si>
    <t>Mick Hayden</t>
  </si>
  <si>
    <t>John Farrell</t>
  </si>
  <si>
    <t>Breda Jones</t>
  </si>
  <si>
    <t>Mark Duffin</t>
  </si>
  <si>
    <t>Date:</t>
  </si>
  <si>
    <t>509 River Forest</t>
  </si>
  <si>
    <t>Leixlip, Co. Kildare.</t>
  </si>
  <si>
    <t>Rep. of Ireland</t>
  </si>
  <si>
    <t>Tel: +353 1 6242222</t>
  </si>
  <si>
    <t>Email: tlsecurity@live.ie</t>
  </si>
  <si>
    <t>Customer Name</t>
  </si>
  <si>
    <t>Address</t>
  </si>
  <si>
    <t>Tel No.</t>
  </si>
  <si>
    <t>Vat Rate</t>
  </si>
  <si>
    <t>Shane Thompson</t>
  </si>
  <si>
    <t>Andy Bates</t>
  </si>
  <si>
    <t>Steven Murray</t>
  </si>
  <si>
    <t>Joseph Hynes</t>
  </si>
  <si>
    <t>Paddy Malone</t>
  </si>
  <si>
    <t>John Murphy</t>
  </si>
  <si>
    <t>Joan Townsend</t>
  </si>
  <si>
    <t>Discount</t>
  </si>
  <si>
    <t>Account No.</t>
  </si>
  <si>
    <t>2 River Grove, Leixlip, Co.Kildare</t>
  </si>
  <si>
    <t>54 Main St., Swords, Co.Dublin</t>
  </si>
  <si>
    <t>68 Lake View, Blessington, Co.Wicklow</t>
  </si>
  <si>
    <t>158 Primrose Gardens, Celbridge, Co.Kildare</t>
  </si>
  <si>
    <t>34 Forest Grove, Newbridge, Co.Kildare</t>
  </si>
  <si>
    <t>323 Forest Park, Blackrock, Co.Dublin</t>
  </si>
  <si>
    <t>673 The Glens, Leixlip, Co.Kildare</t>
  </si>
  <si>
    <t>14 The Mews, Leixlip, Co.Kildare</t>
  </si>
  <si>
    <t>54 Muckross Road, Killarney, Co. Kerry</t>
  </si>
  <si>
    <t>56 The Manor, Finglas, Dublin 11</t>
  </si>
  <si>
    <t>22 Highfield Place, Ashbourne, Co. Meath</t>
  </si>
  <si>
    <t>88 Seaview Avenue, Dalkey, Co. Dublin</t>
  </si>
  <si>
    <t>93 Glendale Estate, Swinford, Co. Mayo</t>
  </si>
  <si>
    <t>177 Ryebrook Lawns, Celbridge, Co. Kildare</t>
  </si>
  <si>
    <t>01 3364754</t>
  </si>
  <si>
    <t>01 7748596</t>
  </si>
  <si>
    <t>01 8477869</t>
  </si>
  <si>
    <t>01 4658575</t>
  </si>
  <si>
    <t>045 5657589</t>
  </si>
  <si>
    <t>01 4647599</t>
  </si>
  <si>
    <t>01 6243758</t>
  </si>
  <si>
    <t>01 3747585</t>
  </si>
  <si>
    <t>064 3759590</t>
  </si>
  <si>
    <t>36 Glenbrook place, Oranmore, Co. Galway</t>
  </si>
  <si>
    <t>091 2374959</t>
  </si>
  <si>
    <t>01 8347484</t>
  </si>
  <si>
    <t>01 3745844</t>
  </si>
  <si>
    <t>01 4638383</t>
  </si>
  <si>
    <t>094 3734834</t>
  </si>
  <si>
    <t>01 3738393</t>
  </si>
  <si>
    <t>Distance:</t>
  </si>
  <si>
    <t>Distance from Leixlip (Km)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</si>
</sst>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€&quot;#,##0.00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2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2" borderId="1" xfId="0" applyFont="1" applyFill="1" applyBorder="1"/>
    <xf numFmtId="0" fontId="0" fillId="0" borderId="1" xfId="0" applyBorder="1"/>
    <xf numFmtId="0" fontId="1" fillId="2" borderId="1" xfId="0" applyFont="1" applyFill="1" applyBorder="1"/>
    <xf numFmtId="0" fontId="3" fillId="0" borderId="0" xfId="0" applyFont="1"/>
    <xf numFmtId="164" fontId="0" fillId="0" borderId="0" xfId="0" applyNumberFormat="1"/>
    <xf numFmtId="22" fontId="0" fillId="0" borderId="1" xfId="0" applyNumberFormat="1" applyBorder="1"/>
    <xf numFmtId="9" fontId="0" fillId="0" borderId="1" xfId="0" applyNumberFormat="1" applyBorder="1"/>
    <xf numFmtId="0" fontId="4" fillId="0" borderId="0" xfId="0" applyFont="1"/>
    <xf numFmtId="164" fontId="0" fillId="0" borderId="1" xfId="0" applyNumberFormat="1" applyBorder="1"/>
    <xf numFmtId="3" fontId="0" fillId="0" borderId="1" xfId="0" applyNumberFormat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left"/>
    </xf>
    <xf numFmtId="0" fontId="0" fillId="0" borderId="1" xfId="0" applyNumberFormat="1" applyBorder="1"/>
    <xf numFmtId="0" fontId="0" fillId="0" borderId="0" xfId="0" applyAlignment="1">
      <alignment horizontal="left"/>
    </xf>
    <xf numFmtId="0" fontId="4" fillId="0" borderId="0" xfId="0" applyFont="1" applyAlignment="1">
      <alignment wrapText="1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0" xfId="0" applyBorder="1"/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1619250</xdr:colOff>
      <xdr:row>0</xdr:row>
      <xdr:rowOff>0</xdr:rowOff>
    </xdr:from>
    <xdr:ext cx="4667250" cy="937629"/>
    <xdr:sp macro="" textlink="">
      <xdr:nvSpPr>
        <xdr:cNvPr id="2" name="Rectangle 1"/>
        <xdr:cNvSpPr/>
      </xdr:nvSpPr>
      <xdr:spPr>
        <a:xfrm>
          <a:off x="1619250" y="0"/>
          <a:ext cx="46672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TL Security Ltd.</a:t>
          </a:r>
        </a:p>
      </xdr:txBody>
    </xdr:sp>
    <xdr:clientData/>
  </xdr:oneCellAnchor>
  <xdr:oneCellAnchor>
    <xdr:from>
      <xdr:col>0</xdr:col>
      <xdr:colOff>0</xdr:colOff>
      <xdr:row>3</xdr:row>
      <xdr:rowOff>83343</xdr:rowOff>
    </xdr:from>
    <xdr:ext cx="1383327" cy="560410"/>
    <xdr:sp macro="" textlink="">
      <xdr:nvSpPr>
        <xdr:cNvPr id="3" name="Rectangle 2"/>
        <xdr:cNvSpPr/>
      </xdr:nvSpPr>
      <xdr:spPr>
        <a:xfrm>
          <a:off x="0" y="678656"/>
          <a:ext cx="1383327" cy="56041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skerville Old Face" panose="02020602080505020303" pitchFamily="18" charset="0"/>
            </a:rPr>
            <a:t>Invoice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1619250</xdr:colOff>
      <xdr:row>0</xdr:row>
      <xdr:rowOff>0</xdr:rowOff>
    </xdr:from>
    <xdr:ext cx="4667250" cy="937629"/>
    <xdr:sp macro="" textlink="">
      <xdr:nvSpPr>
        <xdr:cNvPr id="2" name="Rectangle 1"/>
        <xdr:cNvSpPr/>
      </xdr:nvSpPr>
      <xdr:spPr>
        <a:xfrm>
          <a:off x="1619250" y="0"/>
          <a:ext cx="46672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TL Security Ltd.</a:t>
          </a:r>
        </a:p>
      </xdr:txBody>
    </xdr:sp>
    <xdr:clientData/>
  </xdr:oneCellAnchor>
  <xdr:oneCellAnchor>
    <xdr:from>
      <xdr:col>0</xdr:col>
      <xdr:colOff>0</xdr:colOff>
      <xdr:row>3</xdr:row>
      <xdr:rowOff>83343</xdr:rowOff>
    </xdr:from>
    <xdr:ext cx="1383327" cy="560410"/>
    <xdr:sp macro="" textlink="">
      <xdr:nvSpPr>
        <xdr:cNvPr id="3" name="Rectangle 2"/>
        <xdr:cNvSpPr/>
      </xdr:nvSpPr>
      <xdr:spPr>
        <a:xfrm>
          <a:off x="0" y="673893"/>
          <a:ext cx="1383327" cy="56041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skerville Old Face" panose="02020602080505020303" pitchFamily="18" charset="0"/>
            </a:rPr>
            <a:t>Invoice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  <pageSetUpPr fitToPage="1"/>
  </sheetPr>
  <dimension ref="A2:E31"/>
  <sheetViews>
    <sheetView tabSelected="1" view="pageLayout" zoomScale="90" zoomScaleNormal="100" zoomScalePageLayoutView="90" workbookViewId="0">
      <selection activeCell="C27" sqref="C27"/>
    </sheetView>
  </sheetViews>
  <sheetFormatPr defaultRowHeight="15" x14ac:dyDescent="0.25"/>
  <cols>
    <col min="1" max="1" width="26.28515625" customWidth="1"/>
    <col min="2" max="2" width="62.7109375" customWidth="1"/>
    <col min="3" max="3" width="10.85546875" customWidth="1"/>
    <col min="4" max="4" width="17.42578125" customWidth="1"/>
    <col min="5" max="5" width="17" customWidth="1"/>
  </cols>
  <sheetData>
    <row r="2" spans="1:5" ht="15.75" x14ac:dyDescent="0.25">
      <c r="D2" s="19" t="s">
        <v>121</v>
      </c>
      <c r="E2" s="19"/>
    </row>
    <row r="3" spans="1:5" ht="15.75" x14ac:dyDescent="0.25">
      <c r="D3" s="19" t="s">
        <v>122</v>
      </c>
      <c r="E3" s="19"/>
    </row>
    <row r="4" spans="1:5" ht="15.75" x14ac:dyDescent="0.25">
      <c r="D4" s="19" t="s">
        <v>123</v>
      </c>
      <c r="E4" s="19"/>
    </row>
    <row r="5" spans="1:5" ht="15.75" x14ac:dyDescent="0.25">
      <c r="D5" s="19" t="s">
        <v>124</v>
      </c>
      <c r="E5" s="19"/>
    </row>
    <row r="6" spans="1:5" ht="15.75" x14ac:dyDescent="0.25">
      <c r="D6" s="19" t="s">
        <v>125</v>
      </c>
      <c r="E6" s="19"/>
    </row>
    <row r="7" spans="1:5" ht="18.75" x14ac:dyDescent="0.3">
      <c r="A7" s="1" t="s">
        <v>126</v>
      </c>
      <c r="B7" s="2" t="str">
        <f>VLOOKUP(B11,Client,2,FALSE)</f>
        <v>Mark Duffin</v>
      </c>
    </row>
    <row r="8" spans="1:5" x14ac:dyDescent="0.25">
      <c r="A8" s="3" t="s">
        <v>127</v>
      </c>
      <c r="B8" s="2" t="str">
        <f>VLOOKUP(B11,Client,3,FALSE)</f>
        <v>14 The Mews, Leixlip, Co.Kildare</v>
      </c>
      <c r="D8" s="3" t="s">
        <v>129</v>
      </c>
      <c r="E8" s="7">
        <v>0.23</v>
      </c>
    </row>
    <row r="9" spans="1:5" x14ac:dyDescent="0.25">
      <c r="A9" s="18"/>
      <c r="B9" s="18"/>
    </row>
    <row r="10" spans="1:5" ht="18.75" x14ac:dyDescent="0.3">
      <c r="A10" s="3" t="s">
        <v>128</v>
      </c>
      <c r="B10" s="2" t="str">
        <f>VLOOKUP(B11,Client,4,FALSE)</f>
        <v>01 3747585</v>
      </c>
      <c r="D10" s="1" t="s">
        <v>120</v>
      </c>
      <c r="E10" s="6">
        <f ca="1">NOW()</f>
        <v>41394.414635416666</v>
      </c>
    </row>
    <row r="11" spans="1:5" ht="18.75" x14ac:dyDescent="0.3">
      <c r="A11" s="3" t="s">
        <v>138</v>
      </c>
      <c r="B11" s="12">
        <v>100008</v>
      </c>
      <c r="D11" s="1" t="s">
        <v>169</v>
      </c>
      <c r="E11" s="13">
        <f>VLOOKUP(INVOICE!B11,Client,5,FALSE)</f>
        <v>0</v>
      </c>
    </row>
    <row r="13" spans="1:5" ht="18.75" x14ac:dyDescent="0.3">
      <c r="A13" s="1" t="s">
        <v>0</v>
      </c>
      <c r="B13" s="1" t="s">
        <v>1</v>
      </c>
      <c r="C13" s="1" t="s">
        <v>2</v>
      </c>
      <c r="D13" s="1" t="s">
        <v>3</v>
      </c>
      <c r="E13" s="1" t="s">
        <v>4</v>
      </c>
    </row>
    <row r="14" spans="1:5" x14ac:dyDescent="0.25">
      <c r="A14" s="2" t="s">
        <v>63</v>
      </c>
      <c r="B14" s="2" t="str">
        <f t="shared" ref="B14:B26" si="0">VLOOKUP(A14,STOCK,2,FALSE)</f>
        <v>HYBRID ALARM PANEL</v>
      </c>
      <c r="C14" s="10">
        <v>1</v>
      </c>
      <c r="D14" s="9">
        <f t="shared" ref="D14:D26" si="1">VLOOKUP(A14,STOCK,3,FALSE)</f>
        <v>127</v>
      </c>
      <c r="E14" s="9">
        <f>C14*D14</f>
        <v>127</v>
      </c>
    </row>
    <row r="15" spans="1:5" x14ac:dyDescent="0.25">
      <c r="A15" s="2" t="s">
        <v>73</v>
      </c>
      <c r="B15" s="2" t="str">
        <f t="shared" si="0"/>
        <v>WIRELESS INTERNAL SIREN</v>
      </c>
      <c r="C15" s="10">
        <v>1</v>
      </c>
      <c r="D15" s="9">
        <f t="shared" si="1"/>
        <v>39</v>
      </c>
      <c r="E15" s="9">
        <f t="shared" ref="E15:E26" si="2">C15*D15</f>
        <v>39</v>
      </c>
    </row>
    <row r="16" spans="1:5" x14ac:dyDescent="0.25">
      <c r="A16" s="2" t="s">
        <v>81</v>
      </c>
      <c r="B16" s="2" t="str">
        <f t="shared" si="0"/>
        <v>WIRELESS REMOTE KEYPAD</v>
      </c>
      <c r="C16" s="10">
        <v>2</v>
      </c>
      <c r="D16" s="9">
        <f t="shared" si="1"/>
        <v>71.87</v>
      </c>
      <c r="E16" s="9">
        <f t="shared" si="2"/>
        <v>143.74</v>
      </c>
    </row>
    <row r="17" spans="1:5" x14ac:dyDescent="0.25">
      <c r="A17" s="2" t="s">
        <v>79</v>
      </c>
      <c r="B17" s="2" t="str">
        <f t="shared" si="0"/>
        <v>WIRELESS EXT SIREN/STROBE</v>
      </c>
      <c r="C17" s="10">
        <v>1</v>
      </c>
      <c r="D17" s="9">
        <f t="shared" si="1"/>
        <v>81.5</v>
      </c>
      <c r="E17" s="9">
        <f t="shared" si="2"/>
        <v>81.5</v>
      </c>
    </row>
    <row r="18" spans="1:5" x14ac:dyDescent="0.25">
      <c r="A18" s="2" t="s">
        <v>19</v>
      </c>
      <c r="B18" s="2" t="str">
        <f t="shared" si="0"/>
        <v>EXTERNAL SCREENED BELLBOX DECOY</v>
      </c>
      <c r="C18" s="10">
        <v>1</v>
      </c>
      <c r="D18" s="9">
        <f t="shared" si="1"/>
        <v>8.7899999999999991</v>
      </c>
      <c r="E18" s="9">
        <f t="shared" si="2"/>
        <v>8.7899999999999991</v>
      </c>
    </row>
    <row r="19" spans="1:5" x14ac:dyDescent="0.25">
      <c r="A19" s="2" t="s">
        <v>21</v>
      </c>
      <c r="B19" s="2" t="str">
        <f t="shared" si="0"/>
        <v>SECURITY CAGE FOR BELLBOX</v>
      </c>
      <c r="C19" s="10">
        <v>1</v>
      </c>
      <c r="D19" s="9">
        <f t="shared" si="1"/>
        <v>37.799999999999997</v>
      </c>
      <c r="E19" s="9">
        <f t="shared" si="2"/>
        <v>37.799999999999997</v>
      </c>
    </row>
    <row r="20" spans="1:5" x14ac:dyDescent="0.25">
      <c r="A20" s="2" t="s">
        <v>75</v>
      </c>
      <c r="B20" s="2" t="str">
        <f t="shared" si="0"/>
        <v>WIRELESS KEYFOB</v>
      </c>
      <c r="C20" s="10">
        <v>1</v>
      </c>
      <c r="D20" s="9">
        <f t="shared" si="1"/>
        <v>32.43</v>
      </c>
      <c r="E20" s="9">
        <f t="shared" si="2"/>
        <v>32.43</v>
      </c>
    </row>
    <row r="21" spans="1:5" x14ac:dyDescent="0.25">
      <c r="A21" s="2" t="s">
        <v>77</v>
      </c>
      <c r="B21" s="2" t="str">
        <f t="shared" si="0"/>
        <v>WIRELESS PIR</v>
      </c>
      <c r="C21" s="10">
        <v>2</v>
      </c>
      <c r="D21" s="9">
        <f t="shared" si="1"/>
        <v>47.06</v>
      </c>
      <c r="E21" s="9">
        <f t="shared" si="2"/>
        <v>94.12</v>
      </c>
    </row>
    <row r="22" spans="1:5" x14ac:dyDescent="0.25">
      <c r="A22" s="2" t="s">
        <v>69</v>
      </c>
      <c r="B22" s="2" t="str">
        <f t="shared" si="0"/>
        <v>WIRELESS CONTACT WITH INERTIA WHITE</v>
      </c>
      <c r="C22" s="10">
        <v>8</v>
      </c>
      <c r="D22" s="9">
        <f t="shared" si="1"/>
        <v>47.06</v>
      </c>
      <c r="E22" s="9">
        <f t="shared" si="2"/>
        <v>376.48</v>
      </c>
    </row>
    <row r="23" spans="1:5" x14ac:dyDescent="0.25">
      <c r="A23" s="2" t="s">
        <v>83</v>
      </c>
      <c r="B23" s="2" t="str">
        <f t="shared" si="0"/>
        <v>3V BATTERY PACK FOR WIRELESS (10)</v>
      </c>
      <c r="C23" s="10">
        <v>1</v>
      </c>
      <c r="D23" s="9">
        <f t="shared" si="1"/>
        <v>25</v>
      </c>
      <c r="E23" s="9">
        <f t="shared" si="2"/>
        <v>25</v>
      </c>
    </row>
    <row r="24" spans="1:5" x14ac:dyDescent="0.25">
      <c r="A24" s="2" t="s">
        <v>85</v>
      </c>
      <c r="B24" s="2" t="str">
        <f t="shared" si="0"/>
        <v>WIRELESS SMOKE DETECTOR</v>
      </c>
      <c r="C24" s="10">
        <v>1</v>
      </c>
      <c r="D24" s="9">
        <f t="shared" si="1"/>
        <v>71.87</v>
      </c>
      <c r="E24" s="9">
        <f t="shared" si="2"/>
        <v>71.87</v>
      </c>
    </row>
    <row r="25" spans="1:5" x14ac:dyDescent="0.25">
      <c r="A25" s="2" t="s">
        <v>57</v>
      </c>
      <c r="B25" s="2" t="str">
        <f t="shared" si="0"/>
        <v>PANIC BUTTON DOUBLE PUSH</v>
      </c>
      <c r="C25" s="10">
        <v>2</v>
      </c>
      <c r="D25" s="9">
        <f t="shared" si="1"/>
        <v>3.43</v>
      </c>
      <c r="E25" s="9">
        <f t="shared" si="2"/>
        <v>6.86</v>
      </c>
    </row>
    <row r="26" spans="1:5" x14ac:dyDescent="0.25">
      <c r="A26" s="2" t="s">
        <v>103</v>
      </c>
      <c r="B26" s="2" t="str">
        <f t="shared" si="0"/>
        <v>GSM Q MODULE FOR SW1070</v>
      </c>
      <c r="C26" s="10">
        <v>1</v>
      </c>
      <c r="D26" s="9">
        <f t="shared" si="1"/>
        <v>137.5</v>
      </c>
      <c r="E26" s="9">
        <f t="shared" si="2"/>
        <v>137.5</v>
      </c>
    </row>
    <row r="27" spans="1:5" x14ac:dyDescent="0.25">
      <c r="D27" s="3" t="s">
        <v>9</v>
      </c>
      <c r="E27" s="9">
        <f>SUM(E14:E26)</f>
        <v>1182.0899999999999</v>
      </c>
    </row>
    <row r="28" spans="1:5" x14ac:dyDescent="0.25">
      <c r="A28" s="3" t="s">
        <v>5</v>
      </c>
      <c r="B28" s="11" t="str">
        <f>VLOOKUP(B11,Client,2,FALSE)</f>
        <v>Mark Duffin</v>
      </c>
      <c r="D28" s="3" t="s">
        <v>6</v>
      </c>
      <c r="E28" s="9">
        <f>E27*$E$8</f>
        <v>271.88069999999999</v>
      </c>
    </row>
    <row r="29" spans="1:5" x14ac:dyDescent="0.25">
      <c r="A29" s="16" t="str">
        <f>VLOOKUP(B11,Client,3,FALSE)</f>
        <v>14 The Mews, Leixlip, Co.Kildare</v>
      </c>
      <c r="B29" s="17"/>
      <c r="D29" s="3" t="s">
        <v>7</v>
      </c>
      <c r="E29" s="9">
        <f>IF(E11&lt;10,0,IF(E11&lt;50,20,IF(E11&lt;100,50,IF(E11&lt;200,80,100))))</f>
        <v>0</v>
      </c>
    </row>
    <row r="30" spans="1:5" x14ac:dyDescent="0.25">
      <c r="A30" s="16" t="str">
        <f>VLOOKUP(B11,Client,4,FALSE)</f>
        <v>01 3747585</v>
      </c>
      <c r="B30" s="17"/>
      <c r="D30" s="3" t="s">
        <v>137</v>
      </c>
      <c r="E30" s="9">
        <f>IF(E27&gt;450,E27*5%,0)</f>
        <v>59.104500000000002</v>
      </c>
    </row>
    <row r="31" spans="1:5" x14ac:dyDescent="0.25">
      <c r="D31" s="3" t="s">
        <v>8</v>
      </c>
      <c r="E31" s="9">
        <f>SUM(E27:E29)-E30</f>
        <v>1394.8661999999999</v>
      </c>
    </row>
  </sheetData>
  <mergeCells count="8">
    <mergeCell ref="A29:B29"/>
    <mergeCell ref="A30:B30"/>
    <mergeCell ref="A9:B9"/>
    <mergeCell ref="D2:E2"/>
    <mergeCell ref="D3:E3"/>
    <mergeCell ref="D4:E4"/>
    <mergeCell ref="D5:E5"/>
    <mergeCell ref="D6:E6"/>
  </mergeCells>
  <pageMargins left="0.70866141732283472" right="0.70866141732283472" top="0.74803149606299213" bottom="0.74803149606299213" header="0.31496062992125984" footer="0.31496062992125984"/>
  <pageSetup paperSize="9" scale="97" orientation="landscape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  <pageSetUpPr fitToPage="1"/>
  </sheetPr>
  <dimension ref="A1:C218"/>
  <sheetViews>
    <sheetView view="pageLayout" zoomScaleNormal="100" workbookViewId="0"/>
  </sheetViews>
  <sheetFormatPr defaultRowHeight="15" x14ac:dyDescent="0.25"/>
  <cols>
    <col min="1" max="1" width="23" customWidth="1"/>
    <col min="2" max="2" width="50" customWidth="1"/>
    <col min="3" max="3" width="13.7109375" customWidth="1"/>
  </cols>
  <sheetData>
    <row r="1" spans="1:3" x14ac:dyDescent="0.25">
      <c r="A1" s="4" t="s">
        <v>0</v>
      </c>
      <c r="B1" s="4" t="s">
        <v>1</v>
      </c>
      <c r="C1" s="4" t="s">
        <v>10</v>
      </c>
    </row>
    <row r="2" spans="1:3" x14ac:dyDescent="0.25">
      <c r="A2" t="s">
        <v>11</v>
      </c>
      <c r="B2" t="s">
        <v>15</v>
      </c>
      <c r="C2" s="5">
        <v>108</v>
      </c>
    </row>
    <row r="3" spans="1:3" x14ac:dyDescent="0.25">
      <c r="A3" t="s">
        <v>12</v>
      </c>
      <c r="B3" t="s">
        <v>16</v>
      </c>
      <c r="C3" s="5">
        <v>144.81</v>
      </c>
    </row>
    <row r="4" spans="1:3" x14ac:dyDescent="0.25">
      <c r="A4" t="s">
        <v>13</v>
      </c>
      <c r="B4" t="s">
        <v>17</v>
      </c>
      <c r="C4" s="5">
        <v>238.81</v>
      </c>
    </row>
    <row r="5" spans="1:3" x14ac:dyDescent="0.25">
      <c r="A5" t="s">
        <v>14</v>
      </c>
      <c r="B5" t="s">
        <v>18</v>
      </c>
      <c r="C5" s="5">
        <v>69.510000000000005</v>
      </c>
    </row>
    <row r="6" spans="1:3" x14ac:dyDescent="0.25">
      <c r="A6" t="s">
        <v>103</v>
      </c>
      <c r="B6" t="s">
        <v>104</v>
      </c>
      <c r="C6" s="5">
        <v>137.5</v>
      </c>
    </row>
    <row r="7" spans="1:3" x14ac:dyDescent="0.25">
      <c r="A7" t="s">
        <v>105</v>
      </c>
      <c r="B7" t="s">
        <v>106</v>
      </c>
      <c r="C7" s="5">
        <v>12</v>
      </c>
    </row>
    <row r="8" spans="1:3" x14ac:dyDescent="0.25">
      <c r="A8" t="s">
        <v>19</v>
      </c>
      <c r="B8" t="s">
        <v>26</v>
      </c>
      <c r="C8" s="5">
        <v>8.7899999999999991</v>
      </c>
    </row>
    <row r="9" spans="1:3" x14ac:dyDescent="0.25">
      <c r="A9" t="s">
        <v>20</v>
      </c>
      <c r="B9" t="s">
        <v>27</v>
      </c>
      <c r="C9" s="5">
        <v>37.450000000000003</v>
      </c>
    </row>
    <row r="10" spans="1:3" x14ac:dyDescent="0.25">
      <c r="A10" t="s">
        <v>21</v>
      </c>
      <c r="B10" t="s">
        <v>28</v>
      </c>
      <c r="C10" s="5">
        <v>37.799999999999997</v>
      </c>
    </row>
    <row r="11" spans="1:3" x14ac:dyDescent="0.25">
      <c r="A11" t="s">
        <v>22</v>
      </c>
      <c r="B11" t="s">
        <v>29</v>
      </c>
      <c r="C11" s="5">
        <v>8.84</v>
      </c>
    </row>
    <row r="12" spans="1:3" x14ac:dyDescent="0.25">
      <c r="A12" t="s">
        <v>23</v>
      </c>
      <c r="B12" t="s">
        <v>30</v>
      </c>
      <c r="C12" s="5">
        <v>21.74</v>
      </c>
    </row>
    <row r="13" spans="1:3" x14ac:dyDescent="0.25">
      <c r="A13" t="s">
        <v>24</v>
      </c>
      <c r="B13" t="s">
        <v>31</v>
      </c>
      <c r="C13" s="5">
        <v>21.74</v>
      </c>
    </row>
    <row r="14" spans="1:3" x14ac:dyDescent="0.25">
      <c r="A14" t="s">
        <v>25</v>
      </c>
      <c r="B14" t="s">
        <v>32</v>
      </c>
      <c r="C14" s="5">
        <v>21.73</v>
      </c>
    </row>
    <row r="15" spans="1:3" x14ac:dyDescent="0.25">
      <c r="A15" t="s">
        <v>33</v>
      </c>
      <c r="B15" t="s">
        <v>41</v>
      </c>
      <c r="C15" s="5">
        <v>8.84</v>
      </c>
    </row>
    <row r="16" spans="1:3" x14ac:dyDescent="0.25">
      <c r="A16" t="s">
        <v>34</v>
      </c>
      <c r="B16" t="s">
        <v>42</v>
      </c>
      <c r="C16" s="5">
        <v>8.84</v>
      </c>
    </row>
    <row r="17" spans="1:3" x14ac:dyDescent="0.25">
      <c r="A17" t="s">
        <v>35</v>
      </c>
      <c r="B17" t="s">
        <v>43</v>
      </c>
      <c r="C17" s="5">
        <v>11.09</v>
      </c>
    </row>
    <row r="18" spans="1:3" x14ac:dyDescent="0.25">
      <c r="A18" t="s">
        <v>36</v>
      </c>
      <c r="B18" t="s">
        <v>44</v>
      </c>
      <c r="C18" s="5">
        <v>11.09</v>
      </c>
    </row>
    <row r="19" spans="1:3" x14ac:dyDescent="0.25">
      <c r="A19" t="s">
        <v>37</v>
      </c>
      <c r="B19" t="s">
        <v>45</v>
      </c>
      <c r="C19" s="5">
        <v>17.73</v>
      </c>
    </row>
    <row r="20" spans="1:3" x14ac:dyDescent="0.25">
      <c r="A20" t="s">
        <v>39</v>
      </c>
      <c r="B20" t="s">
        <v>46</v>
      </c>
      <c r="C20" s="5">
        <v>17.73</v>
      </c>
    </row>
    <row r="21" spans="1:3" x14ac:dyDescent="0.25">
      <c r="A21" t="s">
        <v>38</v>
      </c>
      <c r="B21" t="s">
        <v>47</v>
      </c>
      <c r="C21" s="5">
        <v>19.96</v>
      </c>
    </row>
    <row r="22" spans="1:3" x14ac:dyDescent="0.25">
      <c r="A22" t="s">
        <v>40</v>
      </c>
      <c r="B22" t="s">
        <v>48</v>
      </c>
      <c r="C22" s="5">
        <v>19.96</v>
      </c>
    </row>
    <row r="23" spans="1:3" x14ac:dyDescent="0.25">
      <c r="A23" t="s">
        <v>49</v>
      </c>
      <c r="B23" t="s">
        <v>50</v>
      </c>
      <c r="C23" s="5">
        <v>2.62</v>
      </c>
    </row>
    <row r="24" spans="1:3" x14ac:dyDescent="0.25">
      <c r="A24" t="s">
        <v>51</v>
      </c>
      <c r="B24" t="s">
        <v>52</v>
      </c>
      <c r="C24" s="5">
        <v>2.62</v>
      </c>
    </row>
    <row r="25" spans="1:3" x14ac:dyDescent="0.25">
      <c r="A25" t="s">
        <v>53</v>
      </c>
      <c r="B25" t="s">
        <v>54</v>
      </c>
      <c r="C25" s="5">
        <v>70.930000000000007</v>
      </c>
    </row>
    <row r="26" spans="1:3" x14ac:dyDescent="0.25">
      <c r="A26" t="s">
        <v>55</v>
      </c>
      <c r="B26" t="s">
        <v>56</v>
      </c>
      <c r="C26" s="5">
        <v>2.75</v>
      </c>
    </row>
    <row r="27" spans="1:3" x14ac:dyDescent="0.25">
      <c r="A27" t="s">
        <v>57</v>
      </c>
      <c r="B27" t="s">
        <v>58</v>
      </c>
      <c r="C27" s="5">
        <v>3.43</v>
      </c>
    </row>
    <row r="28" spans="1:3" x14ac:dyDescent="0.25">
      <c r="A28" t="s">
        <v>59</v>
      </c>
      <c r="B28" t="s">
        <v>60</v>
      </c>
      <c r="C28" s="5">
        <v>13.51</v>
      </c>
    </row>
    <row r="29" spans="1:3" x14ac:dyDescent="0.25">
      <c r="A29" t="s">
        <v>61</v>
      </c>
      <c r="B29" t="s">
        <v>62</v>
      </c>
      <c r="C29" s="5">
        <v>15.93</v>
      </c>
    </row>
    <row r="30" spans="1:3" x14ac:dyDescent="0.25">
      <c r="A30" t="s">
        <v>63</v>
      </c>
      <c r="B30" t="s">
        <v>64</v>
      </c>
      <c r="C30" s="5">
        <v>127</v>
      </c>
    </row>
    <row r="31" spans="1:3" x14ac:dyDescent="0.25">
      <c r="A31" t="s">
        <v>70</v>
      </c>
      <c r="B31" t="s">
        <v>68</v>
      </c>
      <c r="C31" s="5">
        <v>34.369999999999997</v>
      </c>
    </row>
    <row r="32" spans="1:3" x14ac:dyDescent="0.25">
      <c r="A32" t="s">
        <v>65</v>
      </c>
      <c r="B32" t="s">
        <v>66</v>
      </c>
      <c r="C32" s="5">
        <v>34.369999999999997</v>
      </c>
    </row>
    <row r="33" spans="1:3" x14ac:dyDescent="0.25">
      <c r="A33" t="s">
        <v>67</v>
      </c>
      <c r="B33" t="s">
        <v>71</v>
      </c>
      <c r="C33" s="5">
        <v>47.06</v>
      </c>
    </row>
    <row r="34" spans="1:3" x14ac:dyDescent="0.25">
      <c r="A34" t="s">
        <v>69</v>
      </c>
      <c r="B34" t="s">
        <v>72</v>
      </c>
      <c r="C34" s="5">
        <v>47.06</v>
      </c>
    </row>
    <row r="35" spans="1:3" x14ac:dyDescent="0.25">
      <c r="A35" t="s">
        <v>73</v>
      </c>
      <c r="B35" t="s">
        <v>74</v>
      </c>
      <c r="C35" s="5">
        <v>39</v>
      </c>
    </row>
    <row r="36" spans="1:3" x14ac:dyDescent="0.25">
      <c r="A36" t="s">
        <v>75</v>
      </c>
      <c r="B36" t="s">
        <v>76</v>
      </c>
      <c r="C36" s="5">
        <v>32.43</v>
      </c>
    </row>
    <row r="37" spans="1:3" x14ac:dyDescent="0.25">
      <c r="A37" t="s">
        <v>77</v>
      </c>
      <c r="B37" t="s">
        <v>78</v>
      </c>
      <c r="C37" s="5">
        <v>47.06</v>
      </c>
    </row>
    <row r="38" spans="1:3" x14ac:dyDescent="0.25">
      <c r="A38" t="s">
        <v>79</v>
      </c>
      <c r="B38" t="s">
        <v>80</v>
      </c>
      <c r="C38" s="5">
        <v>81.5</v>
      </c>
    </row>
    <row r="39" spans="1:3" x14ac:dyDescent="0.25">
      <c r="A39" t="s">
        <v>81</v>
      </c>
      <c r="B39" t="s">
        <v>82</v>
      </c>
      <c r="C39" s="5">
        <v>71.87</v>
      </c>
    </row>
    <row r="40" spans="1:3" x14ac:dyDescent="0.25">
      <c r="A40" t="s">
        <v>83</v>
      </c>
      <c r="B40" t="s">
        <v>84</v>
      </c>
      <c r="C40" s="5">
        <v>25</v>
      </c>
    </row>
    <row r="41" spans="1:3" x14ac:dyDescent="0.25">
      <c r="A41" t="s">
        <v>107</v>
      </c>
      <c r="B41" t="s">
        <v>108</v>
      </c>
      <c r="C41" s="5">
        <v>71.87</v>
      </c>
    </row>
    <row r="42" spans="1:3" x14ac:dyDescent="0.25">
      <c r="A42" t="s">
        <v>85</v>
      </c>
      <c r="B42" t="s">
        <v>86</v>
      </c>
      <c r="C42" s="5">
        <v>71.87</v>
      </c>
    </row>
    <row r="43" spans="1:3" x14ac:dyDescent="0.25">
      <c r="A43" t="s">
        <v>87</v>
      </c>
      <c r="B43" t="s">
        <v>88</v>
      </c>
      <c r="C43" s="5">
        <v>13.9</v>
      </c>
    </row>
    <row r="44" spans="1:3" x14ac:dyDescent="0.25">
      <c r="A44" t="s">
        <v>89</v>
      </c>
      <c r="B44" t="s">
        <v>90</v>
      </c>
      <c r="C44" s="5">
        <v>13.9</v>
      </c>
    </row>
    <row r="45" spans="1:3" x14ac:dyDescent="0.25">
      <c r="A45" t="s">
        <v>93</v>
      </c>
      <c r="B45" t="s">
        <v>92</v>
      </c>
      <c r="C45" s="5">
        <v>16.899999999999999</v>
      </c>
    </row>
    <row r="46" spans="1:3" x14ac:dyDescent="0.25">
      <c r="A46" t="s">
        <v>91</v>
      </c>
      <c r="B46" t="s">
        <v>94</v>
      </c>
      <c r="C46" s="5">
        <v>16.899999999999999</v>
      </c>
    </row>
    <row r="47" spans="1:3" x14ac:dyDescent="0.25">
      <c r="A47" t="s">
        <v>95</v>
      </c>
      <c r="B47" t="s">
        <v>96</v>
      </c>
      <c r="C47" s="5">
        <v>2.19</v>
      </c>
    </row>
    <row r="48" spans="1:3" x14ac:dyDescent="0.25">
      <c r="A48" t="s">
        <v>97</v>
      </c>
      <c r="B48" t="s">
        <v>98</v>
      </c>
      <c r="C48" s="5">
        <v>2.19</v>
      </c>
    </row>
    <row r="49" spans="1:3" x14ac:dyDescent="0.25">
      <c r="A49" t="s">
        <v>99</v>
      </c>
      <c r="B49" t="s">
        <v>100</v>
      </c>
      <c r="C49" s="5">
        <v>2.95</v>
      </c>
    </row>
    <row r="50" spans="1:3" x14ac:dyDescent="0.25">
      <c r="A50" t="s">
        <v>101</v>
      </c>
      <c r="B50" t="s">
        <v>102</v>
      </c>
      <c r="C50" s="5">
        <v>2.95</v>
      </c>
    </row>
    <row r="51" spans="1:3" x14ac:dyDescent="0.25">
      <c r="C51" s="5"/>
    </row>
    <row r="52" spans="1:3" x14ac:dyDescent="0.25">
      <c r="C52" s="5"/>
    </row>
    <row r="53" spans="1:3" x14ac:dyDescent="0.25">
      <c r="C53" s="5"/>
    </row>
    <row r="54" spans="1:3" x14ac:dyDescent="0.25">
      <c r="C54" s="5"/>
    </row>
    <row r="55" spans="1:3" x14ac:dyDescent="0.25">
      <c r="C55" s="5"/>
    </row>
    <row r="56" spans="1:3" x14ac:dyDescent="0.25">
      <c r="C56" s="5"/>
    </row>
    <row r="57" spans="1:3" x14ac:dyDescent="0.25">
      <c r="C57" s="5"/>
    </row>
    <row r="58" spans="1:3" x14ac:dyDescent="0.25">
      <c r="C58" s="5"/>
    </row>
    <row r="59" spans="1:3" x14ac:dyDescent="0.25">
      <c r="C59" s="5"/>
    </row>
    <row r="60" spans="1:3" x14ac:dyDescent="0.25">
      <c r="C60" s="5"/>
    </row>
    <row r="61" spans="1:3" x14ac:dyDescent="0.25">
      <c r="C61" s="5"/>
    </row>
    <row r="62" spans="1:3" x14ac:dyDescent="0.25">
      <c r="C62" s="5"/>
    </row>
    <row r="63" spans="1:3" x14ac:dyDescent="0.25">
      <c r="C63" s="5"/>
    </row>
    <row r="64" spans="1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  <row r="99" spans="3:3" x14ac:dyDescent="0.25">
      <c r="C99" s="5"/>
    </row>
    <row r="100" spans="3:3" x14ac:dyDescent="0.25">
      <c r="C100" s="5"/>
    </row>
    <row r="101" spans="3:3" x14ac:dyDescent="0.25">
      <c r="C101" s="5"/>
    </row>
    <row r="102" spans="3:3" x14ac:dyDescent="0.25">
      <c r="C102" s="5"/>
    </row>
    <row r="103" spans="3:3" x14ac:dyDescent="0.25">
      <c r="C103" s="5"/>
    </row>
    <row r="104" spans="3:3" x14ac:dyDescent="0.25">
      <c r="C104" s="5"/>
    </row>
    <row r="105" spans="3:3" x14ac:dyDescent="0.25">
      <c r="C105" s="5"/>
    </row>
    <row r="106" spans="3:3" x14ac:dyDescent="0.25">
      <c r="C106" s="5"/>
    </row>
    <row r="107" spans="3:3" x14ac:dyDescent="0.25">
      <c r="C107" s="5"/>
    </row>
    <row r="108" spans="3:3" x14ac:dyDescent="0.25">
      <c r="C108" s="5"/>
    </row>
    <row r="109" spans="3:3" x14ac:dyDescent="0.25">
      <c r="C109" s="5"/>
    </row>
    <row r="110" spans="3:3" x14ac:dyDescent="0.25">
      <c r="C110" s="5"/>
    </row>
    <row r="111" spans="3:3" x14ac:dyDescent="0.25">
      <c r="C111" s="5"/>
    </row>
    <row r="112" spans="3:3" x14ac:dyDescent="0.25">
      <c r="C112" s="5"/>
    </row>
    <row r="113" spans="3:3" x14ac:dyDescent="0.25">
      <c r="C113" s="5"/>
    </row>
    <row r="114" spans="3:3" x14ac:dyDescent="0.25">
      <c r="C114" s="5"/>
    </row>
    <row r="115" spans="3:3" x14ac:dyDescent="0.25">
      <c r="C115" s="5"/>
    </row>
    <row r="116" spans="3:3" x14ac:dyDescent="0.25">
      <c r="C116" s="5"/>
    </row>
    <row r="117" spans="3:3" x14ac:dyDescent="0.25">
      <c r="C117" s="5"/>
    </row>
    <row r="118" spans="3:3" x14ac:dyDescent="0.25">
      <c r="C118" s="5"/>
    </row>
    <row r="119" spans="3:3" x14ac:dyDescent="0.25">
      <c r="C119" s="5"/>
    </row>
    <row r="120" spans="3:3" x14ac:dyDescent="0.25">
      <c r="C120" s="5"/>
    </row>
    <row r="121" spans="3:3" x14ac:dyDescent="0.25">
      <c r="C121" s="5"/>
    </row>
    <row r="122" spans="3:3" x14ac:dyDescent="0.25">
      <c r="C122" s="5"/>
    </row>
    <row r="123" spans="3:3" x14ac:dyDescent="0.25">
      <c r="C123" s="5"/>
    </row>
    <row r="124" spans="3:3" x14ac:dyDescent="0.25">
      <c r="C124" s="5"/>
    </row>
    <row r="125" spans="3:3" x14ac:dyDescent="0.25">
      <c r="C125" s="5"/>
    </row>
    <row r="126" spans="3:3" x14ac:dyDescent="0.25">
      <c r="C126" s="5"/>
    </row>
    <row r="127" spans="3:3" x14ac:dyDescent="0.25">
      <c r="C127" s="5"/>
    </row>
    <row r="128" spans="3:3" x14ac:dyDescent="0.25">
      <c r="C128" s="5"/>
    </row>
    <row r="129" spans="3:3" x14ac:dyDescent="0.25">
      <c r="C129" s="5"/>
    </row>
    <row r="130" spans="3:3" x14ac:dyDescent="0.25">
      <c r="C130" s="5"/>
    </row>
    <row r="131" spans="3:3" x14ac:dyDescent="0.25">
      <c r="C131" s="5"/>
    </row>
    <row r="132" spans="3:3" x14ac:dyDescent="0.25">
      <c r="C132" s="5"/>
    </row>
    <row r="133" spans="3:3" x14ac:dyDescent="0.25">
      <c r="C133" s="5"/>
    </row>
    <row r="134" spans="3:3" x14ac:dyDescent="0.25">
      <c r="C134" s="5"/>
    </row>
    <row r="135" spans="3:3" x14ac:dyDescent="0.25">
      <c r="C135" s="5"/>
    </row>
    <row r="136" spans="3:3" x14ac:dyDescent="0.25">
      <c r="C136" s="5"/>
    </row>
    <row r="137" spans="3:3" x14ac:dyDescent="0.25">
      <c r="C137" s="5"/>
    </row>
    <row r="138" spans="3:3" x14ac:dyDescent="0.25">
      <c r="C138" s="5"/>
    </row>
    <row r="139" spans="3:3" x14ac:dyDescent="0.25">
      <c r="C139" s="5"/>
    </row>
    <row r="140" spans="3:3" x14ac:dyDescent="0.25">
      <c r="C140" s="5"/>
    </row>
    <row r="141" spans="3:3" x14ac:dyDescent="0.25">
      <c r="C141" s="5"/>
    </row>
    <row r="142" spans="3:3" x14ac:dyDescent="0.25">
      <c r="C142" s="5"/>
    </row>
    <row r="143" spans="3:3" x14ac:dyDescent="0.25">
      <c r="C143" s="5"/>
    </row>
    <row r="144" spans="3:3" x14ac:dyDescent="0.25">
      <c r="C144" s="5"/>
    </row>
    <row r="145" spans="3:3" x14ac:dyDescent="0.25">
      <c r="C145" s="5"/>
    </row>
    <row r="146" spans="3:3" x14ac:dyDescent="0.25">
      <c r="C146" s="5"/>
    </row>
    <row r="147" spans="3:3" x14ac:dyDescent="0.25">
      <c r="C147" s="5"/>
    </row>
    <row r="148" spans="3:3" x14ac:dyDescent="0.25">
      <c r="C148" s="5"/>
    </row>
    <row r="149" spans="3:3" x14ac:dyDescent="0.25">
      <c r="C149" s="5"/>
    </row>
    <row r="150" spans="3:3" x14ac:dyDescent="0.25">
      <c r="C150" s="5"/>
    </row>
    <row r="151" spans="3:3" x14ac:dyDescent="0.25">
      <c r="C151" s="5"/>
    </row>
    <row r="152" spans="3:3" x14ac:dyDescent="0.25">
      <c r="C152" s="5"/>
    </row>
    <row r="153" spans="3:3" x14ac:dyDescent="0.25">
      <c r="C153" s="5"/>
    </row>
    <row r="154" spans="3:3" x14ac:dyDescent="0.25">
      <c r="C154" s="5"/>
    </row>
    <row r="155" spans="3:3" x14ac:dyDescent="0.25">
      <c r="C155" s="5"/>
    </row>
    <row r="156" spans="3:3" x14ac:dyDescent="0.25">
      <c r="C156" s="5"/>
    </row>
    <row r="157" spans="3:3" x14ac:dyDescent="0.25">
      <c r="C157" s="5"/>
    </row>
    <row r="158" spans="3:3" x14ac:dyDescent="0.25">
      <c r="C158" s="5"/>
    </row>
    <row r="159" spans="3:3" x14ac:dyDescent="0.25">
      <c r="C159" s="5"/>
    </row>
    <row r="160" spans="3:3" x14ac:dyDescent="0.25">
      <c r="C160" s="5"/>
    </row>
    <row r="161" spans="3:3" x14ac:dyDescent="0.25">
      <c r="C161" s="5"/>
    </row>
    <row r="162" spans="3:3" x14ac:dyDescent="0.25">
      <c r="C162" s="5"/>
    </row>
    <row r="163" spans="3:3" x14ac:dyDescent="0.25">
      <c r="C163" s="5"/>
    </row>
    <row r="164" spans="3:3" x14ac:dyDescent="0.25">
      <c r="C164" s="5"/>
    </row>
    <row r="165" spans="3:3" x14ac:dyDescent="0.25">
      <c r="C165" s="5"/>
    </row>
    <row r="166" spans="3:3" x14ac:dyDescent="0.25">
      <c r="C166" s="5"/>
    </row>
    <row r="167" spans="3:3" x14ac:dyDescent="0.25">
      <c r="C167" s="5"/>
    </row>
    <row r="168" spans="3:3" x14ac:dyDescent="0.25">
      <c r="C168" s="5"/>
    </row>
    <row r="169" spans="3:3" x14ac:dyDescent="0.25">
      <c r="C169" s="5"/>
    </row>
    <row r="170" spans="3:3" x14ac:dyDescent="0.25">
      <c r="C170" s="5"/>
    </row>
    <row r="171" spans="3:3" x14ac:dyDescent="0.25">
      <c r="C171" s="5"/>
    </row>
    <row r="172" spans="3:3" x14ac:dyDescent="0.25">
      <c r="C172" s="5"/>
    </row>
    <row r="173" spans="3:3" x14ac:dyDescent="0.25">
      <c r="C173" s="5"/>
    </row>
    <row r="174" spans="3:3" x14ac:dyDescent="0.25">
      <c r="C174" s="5"/>
    </row>
    <row r="175" spans="3:3" x14ac:dyDescent="0.25">
      <c r="C175" s="5"/>
    </row>
    <row r="176" spans="3:3" x14ac:dyDescent="0.25">
      <c r="C176" s="5"/>
    </row>
    <row r="177" spans="3:3" x14ac:dyDescent="0.25">
      <c r="C177" s="5"/>
    </row>
    <row r="178" spans="3:3" x14ac:dyDescent="0.25">
      <c r="C178" s="5"/>
    </row>
    <row r="179" spans="3:3" x14ac:dyDescent="0.25">
      <c r="C179" s="5"/>
    </row>
    <row r="180" spans="3:3" x14ac:dyDescent="0.25">
      <c r="C180" s="5"/>
    </row>
    <row r="181" spans="3:3" x14ac:dyDescent="0.25">
      <c r="C181" s="5"/>
    </row>
    <row r="182" spans="3:3" x14ac:dyDescent="0.25">
      <c r="C182" s="5"/>
    </row>
    <row r="183" spans="3:3" x14ac:dyDescent="0.25">
      <c r="C183" s="5"/>
    </row>
    <row r="184" spans="3:3" x14ac:dyDescent="0.25">
      <c r="C184" s="5"/>
    </row>
    <row r="185" spans="3:3" x14ac:dyDescent="0.25">
      <c r="C185" s="5"/>
    </row>
    <row r="186" spans="3:3" x14ac:dyDescent="0.25">
      <c r="C186" s="5"/>
    </row>
    <row r="187" spans="3:3" x14ac:dyDescent="0.25">
      <c r="C187" s="5"/>
    </row>
    <row r="188" spans="3:3" x14ac:dyDescent="0.25">
      <c r="C188" s="5"/>
    </row>
    <row r="189" spans="3:3" x14ac:dyDescent="0.25">
      <c r="C189" s="5"/>
    </row>
    <row r="190" spans="3:3" x14ac:dyDescent="0.25">
      <c r="C190" s="5"/>
    </row>
    <row r="191" spans="3:3" x14ac:dyDescent="0.25">
      <c r="C191" s="5"/>
    </row>
    <row r="192" spans="3:3" x14ac:dyDescent="0.25">
      <c r="C192" s="5"/>
    </row>
    <row r="193" spans="3:3" x14ac:dyDescent="0.25">
      <c r="C193" s="5"/>
    </row>
    <row r="194" spans="3:3" x14ac:dyDescent="0.25">
      <c r="C194" s="5"/>
    </row>
    <row r="195" spans="3:3" x14ac:dyDescent="0.25">
      <c r="C195" s="5"/>
    </row>
    <row r="196" spans="3:3" x14ac:dyDescent="0.25">
      <c r="C196" s="5"/>
    </row>
    <row r="197" spans="3:3" x14ac:dyDescent="0.25">
      <c r="C197" s="5"/>
    </row>
    <row r="198" spans="3:3" x14ac:dyDescent="0.25">
      <c r="C198" s="5"/>
    </row>
    <row r="199" spans="3:3" x14ac:dyDescent="0.25">
      <c r="C199" s="5"/>
    </row>
    <row r="200" spans="3:3" x14ac:dyDescent="0.25">
      <c r="C200" s="5"/>
    </row>
    <row r="201" spans="3:3" x14ac:dyDescent="0.25">
      <c r="C201" s="5"/>
    </row>
    <row r="202" spans="3:3" x14ac:dyDescent="0.25">
      <c r="C202" s="5"/>
    </row>
    <row r="203" spans="3:3" x14ac:dyDescent="0.25">
      <c r="C203" s="5"/>
    </row>
    <row r="204" spans="3:3" x14ac:dyDescent="0.25">
      <c r="C204" s="5"/>
    </row>
    <row r="205" spans="3:3" x14ac:dyDescent="0.25">
      <c r="C205" s="5"/>
    </row>
    <row r="206" spans="3:3" x14ac:dyDescent="0.25">
      <c r="C206" s="5"/>
    </row>
    <row r="207" spans="3:3" x14ac:dyDescent="0.25">
      <c r="C207" s="5"/>
    </row>
    <row r="208" spans="3:3" x14ac:dyDescent="0.25">
      <c r="C208" s="5"/>
    </row>
    <row r="209" spans="3:3" x14ac:dyDescent="0.25">
      <c r="C209" s="5"/>
    </row>
    <row r="210" spans="3:3" x14ac:dyDescent="0.25">
      <c r="C210" s="5"/>
    </row>
    <row r="211" spans="3:3" x14ac:dyDescent="0.25">
      <c r="C211" s="5"/>
    </row>
    <row r="212" spans="3:3" x14ac:dyDescent="0.25">
      <c r="C212" s="5"/>
    </row>
    <row r="213" spans="3:3" x14ac:dyDescent="0.25">
      <c r="C213" s="5"/>
    </row>
    <row r="214" spans="3:3" x14ac:dyDescent="0.25">
      <c r="C214" s="5"/>
    </row>
    <row r="215" spans="3:3" x14ac:dyDescent="0.25">
      <c r="C215" s="5"/>
    </row>
    <row r="216" spans="3:3" x14ac:dyDescent="0.25">
      <c r="C216" s="5"/>
    </row>
    <row r="217" spans="3:3" x14ac:dyDescent="0.25">
      <c r="C217" s="5"/>
    </row>
    <row r="218" spans="3:3" x14ac:dyDescent="0.25">
      <c r="C218" s="5"/>
    </row>
  </sheetData>
  <printOptions gridLines="1"/>
  <pageMargins left="0.70866141732283472" right="0.70866141732283472" top="0.74803149606299213" bottom="0.74803149606299213" header="0.31496062992125984" footer="0.31496062992125984"/>
  <pageSetup paperSize="9" orientation="portrait" horizontalDpi="4294967293" verticalDpi="4294967293" r:id="rId1"/>
  <headerFooter>
    <oddHeader xml:space="preserve">&amp;CSTOCK LIST
</oddHeader>
    <oddFooter>&amp;CTL Security Ltd.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  <pageSetUpPr fitToPage="1"/>
  </sheetPr>
  <dimension ref="A1:E16"/>
  <sheetViews>
    <sheetView view="pageLayout" zoomScaleNormal="100" workbookViewId="0">
      <selection activeCell="C12" sqref="C12"/>
    </sheetView>
  </sheetViews>
  <sheetFormatPr defaultRowHeight="15" x14ac:dyDescent="0.25"/>
  <cols>
    <col min="1" max="1" width="17.85546875" customWidth="1"/>
    <col min="2" max="2" width="20" customWidth="1"/>
    <col min="3" max="3" width="47.140625" customWidth="1"/>
    <col min="4" max="4" width="20.85546875" customWidth="1"/>
    <col min="5" max="5" width="13.28515625" customWidth="1"/>
  </cols>
  <sheetData>
    <row r="1" spans="1:5" ht="30" x14ac:dyDescent="0.25">
      <c r="A1" s="8" t="s">
        <v>138</v>
      </c>
      <c r="B1" s="8" t="s">
        <v>109</v>
      </c>
      <c r="C1" s="8" t="s">
        <v>110</v>
      </c>
      <c r="D1" s="8" t="s">
        <v>111</v>
      </c>
      <c r="E1" s="15" t="s">
        <v>170</v>
      </c>
    </row>
    <row r="2" spans="1:5" x14ac:dyDescent="0.25">
      <c r="A2" s="14">
        <v>100001</v>
      </c>
      <c r="B2" t="s">
        <v>112</v>
      </c>
      <c r="C2" t="s">
        <v>139</v>
      </c>
      <c r="D2" t="s">
        <v>153</v>
      </c>
      <c r="E2" s="14">
        <v>0</v>
      </c>
    </row>
    <row r="3" spans="1:5" x14ac:dyDescent="0.25">
      <c r="A3" s="14">
        <v>100002</v>
      </c>
      <c r="B3" t="s">
        <v>113</v>
      </c>
      <c r="C3" t="s">
        <v>140</v>
      </c>
      <c r="D3" t="s">
        <v>154</v>
      </c>
      <c r="E3" s="14">
        <v>27</v>
      </c>
    </row>
    <row r="4" spans="1:5" x14ac:dyDescent="0.25">
      <c r="A4" s="14">
        <v>100003</v>
      </c>
      <c r="B4" t="s">
        <v>114</v>
      </c>
      <c r="C4" t="s">
        <v>141</v>
      </c>
      <c r="D4" t="s">
        <v>155</v>
      </c>
      <c r="E4" s="14">
        <v>34</v>
      </c>
    </row>
    <row r="5" spans="1:5" x14ac:dyDescent="0.25">
      <c r="A5" s="14">
        <v>100004</v>
      </c>
      <c r="B5" t="s">
        <v>115</v>
      </c>
      <c r="C5" t="s">
        <v>142</v>
      </c>
      <c r="D5" t="s">
        <v>156</v>
      </c>
      <c r="E5" s="14">
        <v>7</v>
      </c>
    </row>
    <row r="6" spans="1:5" x14ac:dyDescent="0.25">
      <c r="A6" s="14">
        <v>100005</v>
      </c>
      <c r="B6" t="s">
        <v>116</v>
      </c>
      <c r="C6" t="s">
        <v>143</v>
      </c>
      <c r="D6" t="s">
        <v>157</v>
      </c>
      <c r="E6" s="14">
        <v>39</v>
      </c>
    </row>
    <row r="7" spans="1:5" x14ac:dyDescent="0.25">
      <c r="A7" s="14">
        <v>100006</v>
      </c>
      <c r="B7" t="s">
        <v>117</v>
      </c>
      <c r="C7" t="s">
        <v>144</v>
      </c>
      <c r="D7" t="s">
        <v>158</v>
      </c>
      <c r="E7" s="14">
        <v>32</v>
      </c>
    </row>
    <row r="8" spans="1:5" x14ac:dyDescent="0.25">
      <c r="A8" s="14">
        <v>100007</v>
      </c>
      <c r="B8" t="s">
        <v>118</v>
      </c>
      <c r="C8" t="s">
        <v>145</v>
      </c>
      <c r="D8" t="s">
        <v>159</v>
      </c>
      <c r="E8" s="14">
        <v>0</v>
      </c>
    </row>
    <row r="9" spans="1:5" x14ac:dyDescent="0.25">
      <c r="A9" s="14">
        <v>100008</v>
      </c>
      <c r="B9" t="s">
        <v>119</v>
      </c>
      <c r="C9" t="s">
        <v>146</v>
      </c>
      <c r="D9" t="s">
        <v>160</v>
      </c>
      <c r="E9" s="14">
        <v>0</v>
      </c>
    </row>
    <row r="10" spans="1:5" x14ac:dyDescent="0.25">
      <c r="A10" s="14">
        <v>100009</v>
      </c>
      <c r="B10" t="s">
        <v>130</v>
      </c>
      <c r="C10" t="s">
        <v>147</v>
      </c>
      <c r="D10" t="s">
        <v>161</v>
      </c>
      <c r="E10" s="14">
        <v>297</v>
      </c>
    </row>
    <row r="11" spans="1:5" x14ac:dyDescent="0.25">
      <c r="A11" s="14">
        <v>100010</v>
      </c>
      <c r="B11" t="s">
        <v>131</v>
      </c>
      <c r="C11" t="s">
        <v>162</v>
      </c>
      <c r="D11" t="s">
        <v>163</v>
      </c>
      <c r="E11" s="14">
        <v>186</v>
      </c>
    </row>
    <row r="12" spans="1:5" x14ac:dyDescent="0.25">
      <c r="A12" s="14">
        <v>100011</v>
      </c>
      <c r="B12" t="s">
        <v>132</v>
      </c>
      <c r="C12" t="s">
        <v>148</v>
      </c>
      <c r="D12" t="s">
        <v>164</v>
      </c>
      <c r="E12" s="14">
        <v>18</v>
      </c>
    </row>
    <row r="13" spans="1:5" x14ac:dyDescent="0.25">
      <c r="A13" s="14">
        <v>100012</v>
      </c>
      <c r="B13" t="s">
        <v>133</v>
      </c>
      <c r="C13" t="s">
        <v>149</v>
      </c>
      <c r="D13" t="s">
        <v>165</v>
      </c>
      <c r="E13" s="14">
        <v>29</v>
      </c>
    </row>
    <row r="14" spans="1:5" x14ac:dyDescent="0.25">
      <c r="A14" s="14">
        <v>100013</v>
      </c>
      <c r="B14" t="s">
        <v>134</v>
      </c>
      <c r="C14" t="s">
        <v>150</v>
      </c>
      <c r="D14" t="s">
        <v>166</v>
      </c>
      <c r="E14" s="14">
        <v>38</v>
      </c>
    </row>
    <row r="15" spans="1:5" x14ac:dyDescent="0.25">
      <c r="A15" s="14">
        <v>100014</v>
      </c>
      <c r="B15" t="s">
        <v>135</v>
      </c>
      <c r="C15" t="s">
        <v>151</v>
      </c>
      <c r="D15" t="s">
        <v>167</v>
      </c>
      <c r="E15" s="14">
        <v>192</v>
      </c>
    </row>
    <row r="16" spans="1:5" x14ac:dyDescent="0.25">
      <c r="A16" s="14">
        <v>100015</v>
      </c>
      <c r="B16" t="s">
        <v>136</v>
      </c>
      <c r="C16" t="s">
        <v>152</v>
      </c>
      <c r="D16" t="s">
        <v>168</v>
      </c>
      <c r="E16" s="14">
        <v>7</v>
      </c>
    </row>
  </sheetData>
  <printOptions gridLines="1"/>
  <pageMargins left="0.70866141732283472" right="0.70866141732283472" top="0.74803149606299213" bottom="0.74803149606299213" header="0.31496062992125984" footer="0.31496062992125984"/>
  <pageSetup paperSize="9" orientation="landscape" horizontalDpi="4294967293" verticalDpi="4294967293" r:id="rId1"/>
  <headerFooter>
    <oddHeader>&amp;C CLIENT LIST</oddHeader>
    <oddFooter>&amp;CTL Security Ltd.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  <pageSetUpPr fitToPage="1"/>
  </sheetPr>
  <dimension ref="A2:E31"/>
  <sheetViews>
    <sheetView view="pageLayout" zoomScaleNormal="100" workbookViewId="0">
      <selection activeCell="E29" sqref="E29"/>
    </sheetView>
  </sheetViews>
  <sheetFormatPr defaultRowHeight="15" x14ac:dyDescent="0.25"/>
  <cols>
    <col min="1" max="1" width="25.7109375" customWidth="1"/>
    <col min="2" max="2" width="61.5703125" customWidth="1"/>
    <col min="3" max="3" width="10.28515625" customWidth="1"/>
    <col min="4" max="4" width="16.28515625" customWidth="1"/>
    <col min="5" max="5" width="16.85546875" customWidth="1"/>
  </cols>
  <sheetData>
    <row r="2" spans="1:5" ht="15.75" x14ac:dyDescent="0.25">
      <c r="D2" s="19" t="s">
        <v>121</v>
      </c>
      <c r="E2" s="19"/>
    </row>
    <row r="3" spans="1:5" ht="15.75" x14ac:dyDescent="0.25">
      <c r="D3" s="19" t="s">
        <v>122</v>
      </c>
      <c r="E3" s="19"/>
    </row>
    <row r="4" spans="1:5" ht="15.75" x14ac:dyDescent="0.25">
      <c r="D4" s="19" t="s">
        <v>123</v>
      </c>
      <c r="E4" s="19"/>
    </row>
    <row r="5" spans="1:5" ht="15.75" x14ac:dyDescent="0.25">
      <c r="D5" s="19" t="s">
        <v>124</v>
      </c>
      <c r="E5" s="19"/>
    </row>
    <row r="6" spans="1:5" ht="15.75" x14ac:dyDescent="0.25">
      <c r="D6" s="19" t="s">
        <v>125</v>
      </c>
      <c r="E6" s="19"/>
    </row>
    <row r="7" spans="1:5" ht="18.75" x14ac:dyDescent="0.3">
      <c r="A7" s="1" t="s">
        <v>126</v>
      </c>
      <c r="B7" s="2" t="e">
        <f>VLOOKUP(B11,Client,2,FALSE)</f>
        <v>#N/A</v>
      </c>
    </row>
    <row r="8" spans="1:5" x14ac:dyDescent="0.25">
      <c r="A8" s="3" t="s">
        <v>127</v>
      </c>
      <c r="B8" s="2" t="e">
        <f>VLOOKUP(B11,Client,3,FALSE)</f>
        <v>#N/A</v>
      </c>
      <c r="D8" s="3" t="s">
        <v>129</v>
      </c>
      <c r="E8" s="7">
        <v>0.23</v>
      </c>
    </row>
    <row r="9" spans="1:5" x14ac:dyDescent="0.25">
      <c r="A9" s="18"/>
      <c r="B9" s="18"/>
    </row>
    <row r="10" spans="1:5" ht="18.75" x14ac:dyDescent="0.3">
      <c r="A10" s="3" t="s">
        <v>128</v>
      </c>
      <c r="B10" s="2" t="e">
        <f>VLOOKUP(B11,Client,4,FALSE)</f>
        <v>#N/A</v>
      </c>
      <c r="D10" s="1" t="s">
        <v>120</v>
      </c>
      <c r="E10" s="6">
        <f ca="1">NOW()</f>
        <v>41394.414635416666</v>
      </c>
    </row>
    <row r="11" spans="1:5" ht="18.75" x14ac:dyDescent="0.3">
      <c r="A11" s="3" t="s">
        <v>138</v>
      </c>
      <c r="B11" s="12"/>
      <c r="D11" s="1" t="s">
        <v>169</v>
      </c>
      <c r="E11" s="13">
        <f>VLOOKUP(INVOICE!B11,Client,5,FALSE)</f>
        <v>0</v>
      </c>
    </row>
    <row r="13" spans="1:5" ht="18.75" x14ac:dyDescent="0.3">
      <c r="A13" s="1" t="s">
        <v>0</v>
      </c>
      <c r="B13" s="1" t="s">
        <v>1</v>
      </c>
      <c r="C13" s="1" t="s">
        <v>2</v>
      </c>
      <c r="D13" s="1" t="s">
        <v>3</v>
      </c>
      <c r="E13" s="1" t="s">
        <v>4</v>
      </c>
    </row>
    <row r="14" spans="1:5" x14ac:dyDescent="0.25">
      <c r="A14" s="2"/>
      <c r="B14" s="2" t="e">
        <f t="shared" ref="B14:B26" si="0">VLOOKUP(A14,STOCK,2,FALSE)</f>
        <v>#N/A</v>
      </c>
      <c r="C14" s="10"/>
      <c r="D14" s="9" t="e">
        <f t="shared" ref="D14:D26" si="1">VLOOKUP(A14,STOCK,3,FALSE)</f>
        <v>#N/A</v>
      </c>
      <c r="E14" s="9" t="e">
        <f>C14*D14</f>
        <v>#N/A</v>
      </c>
    </row>
    <row r="15" spans="1:5" x14ac:dyDescent="0.25">
      <c r="A15" s="2"/>
      <c r="B15" s="2" t="e">
        <f t="shared" si="0"/>
        <v>#N/A</v>
      </c>
      <c r="C15" s="10"/>
      <c r="D15" s="9" t="e">
        <f t="shared" si="1"/>
        <v>#N/A</v>
      </c>
      <c r="E15" s="9" t="e">
        <f t="shared" ref="E15:E26" si="2">C15*D15</f>
        <v>#N/A</v>
      </c>
    </row>
    <row r="16" spans="1:5" x14ac:dyDescent="0.25">
      <c r="A16" s="2"/>
      <c r="B16" s="2" t="e">
        <f t="shared" si="0"/>
        <v>#N/A</v>
      </c>
      <c r="C16" s="10"/>
      <c r="D16" s="9" t="e">
        <f t="shared" si="1"/>
        <v>#N/A</v>
      </c>
      <c r="E16" s="9" t="e">
        <f t="shared" si="2"/>
        <v>#N/A</v>
      </c>
    </row>
    <row r="17" spans="1:5" x14ac:dyDescent="0.25">
      <c r="A17" s="2"/>
      <c r="B17" s="2" t="e">
        <f t="shared" si="0"/>
        <v>#N/A</v>
      </c>
      <c r="C17" s="10"/>
      <c r="D17" s="9" t="e">
        <f t="shared" si="1"/>
        <v>#N/A</v>
      </c>
      <c r="E17" s="9" t="e">
        <f t="shared" si="2"/>
        <v>#N/A</v>
      </c>
    </row>
    <row r="18" spans="1:5" x14ac:dyDescent="0.25">
      <c r="A18" s="2"/>
      <c r="B18" s="2" t="e">
        <f t="shared" si="0"/>
        <v>#N/A</v>
      </c>
      <c r="C18" s="10"/>
      <c r="D18" s="9" t="e">
        <f t="shared" si="1"/>
        <v>#N/A</v>
      </c>
      <c r="E18" s="9" t="e">
        <f t="shared" si="2"/>
        <v>#N/A</v>
      </c>
    </row>
    <row r="19" spans="1:5" x14ac:dyDescent="0.25">
      <c r="A19" s="2"/>
      <c r="B19" s="2" t="e">
        <f t="shared" si="0"/>
        <v>#N/A</v>
      </c>
      <c r="C19" s="10"/>
      <c r="D19" s="9" t="e">
        <f t="shared" si="1"/>
        <v>#N/A</v>
      </c>
      <c r="E19" s="9" t="e">
        <f t="shared" si="2"/>
        <v>#N/A</v>
      </c>
    </row>
    <row r="20" spans="1:5" x14ac:dyDescent="0.25">
      <c r="A20" s="2"/>
      <c r="B20" s="2" t="e">
        <f t="shared" si="0"/>
        <v>#N/A</v>
      </c>
      <c r="C20" s="10"/>
      <c r="D20" s="9" t="e">
        <f t="shared" si="1"/>
        <v>#N/A</v>
      </c>
      <c r="E20" s="9" t="e">
        <f t="shared" si="2"/>
        <v>#N/A</v>
      </c>
    </row>
    <row r="21" spans="1:5" x14ac:dyDescent="0.25">
      <c r="A21" s="2"/>
      <c r="B21" s="2" t="e">
        <f t="shared" si="0"/>
        <v>#N/A</v>
      </c>
      <c r="C21" s="10"/>
      <c r="D21" s="9" t="e">
        <f t="shared" si="1"/>
        <v>#N/A</v>
      </c>
      <c r="E21" s="9" t="e">
        <f t="shared" si="2"/>
        <v>#N/A</v>
      </c>
    </row>
    <row r="22" spans="1:5" x14ac:dyDescent="0.25">
      <c r="A22" s="2"/>
      <c r="B22" s="2" t="e">
        <f t="shared" si="0"/>
        <v>#N/A</v>
      </c>
      <c r="C22" s="10"/>
      <c r="D22" s="9" t="e">
        <f t="shared" si="1"/>
        <v>#N/A</v>
      </c>
      <c r="E22" s="9" t="e">
        <f t="shared" si="2"/>
        <v>#N/A</v>
      </c>
    </row>
    <row r="23" spans="1:5" x14ac:dyDescent="0.25">
      <c r="A23" s="2"/>
      <c r="B23" s="2" t="e">
        <f t="shared" si="0"/>
        <v>#N/A</v>
      </c>
      <c r="C23" s="10"/>
      <c r="D23" s="9" t="e">
        <f t="shared" si="1"/>
        <v>#N/A</v>
      </c>
      <c r="E23" s="9" t="e">
        <f t="shared" si="2"/>
        <v>#N/A</v>
      </c>
    </row>
    <row r="24" spans="1:5" x14ac:dyDescent="0.25">
      <c r="A24" s="2"/>
      <c r="B24" s="2" t="e">
        <f t="shared" si="0"/>
        <v>#N/A</v>
      </c>
      <c r="C24" s="10"/>
      <c r="D24" s="9" t="e">
        <f t="shared" si="1"/>
        <v>#N/A</v>
      </c>
      <c r="E24" s="9" t="e">
        <f t="shared" si="2"/>
        <v>#N/A</v>
      </c>
    </row>
    <row r="25" spans="1:5" x14ac:dyDescent="0.25">
      <c r="A25" s="2"/>
      <c r="B25" s="2" t="e">
        <f t="shared" si="0"/>
        <v>#N/A</v>
      </c>
      <c r="C25" s="10"/>
      <c r="D25" s="9" t="e">
        <f t="shared" si="1"/>
        <v>#N/A</v>
      </c>
      <c r="E25" s="9" t="e">
        <f t="shared" si="2"/>
        <v>#N/A</v>
      </c>
    </row>
    <row r="26" spans="1:5" x14ac:dyDescent="0.25">
      <c r="A26" s="2"/>
      <c r="B26" s="2" t="e">
        <f t="shared" si="0"/>
        <v>#N/A</v>
      </c>
      <c r="C26" s="10"/>
      <c r="D26" s="9" t="e">
        <f t="shared" si="1"/>
        <v>#N/A</v>
      </c>
      <c r="E26" s="9" t="e">
        <f t="shared" si="2"/>
        <v>#N/A</v>
      </c>
    </row>
    <row r="27" spans="1:5" x14ac:dyDescent="0.25">
      <c r="D27" s="3" t="s">
        <v>9</v>
      </c>
      <c r="E27" s="9" t="e">
        <f>SUM(E14:E26)</f>
        <v>#N/A</v>
      </c>
    </row>
    <row r="28" spans="1:5" x14ac:dyDescent="0.25">
      <c r="A28" s="3" t="s">
        <v>5</v>
      </c>
      <c r="B28" s="11" t="e">
        <f>VLOOKUP(B11,Client,2,FALSE)</f>
        <v>#N/A</v>
      </c>
      <c r="D28" s="3" t="s">
        <v>6</v>
      </c>
      <c r="E28" s="9" t="e">
        <f>E27*$E$8</f>
        <v>#N/A</v>
      </c>
    </row>
    <row r="29" spans="1:5" x14ac:dyDescent="0.25">
      <c r="A29" s="16" t="e">
        <f>VLOOKUP(B11,Client,3,FALSE)</f>
        <v>#N/A</v>
      </c>
      <c r="B29" s="17"/>
      <c r="D29" s="3" t="s">
        <v>7</v>
      </c>
      <c r="E29" s="9">
        <f>IF(E11&lt;10,0,IF(E11&lt;50,20,IF(E11&lt;100,50,IF(E11&lt;200,80,100))))</f>
        <v>0</v>
      </c>
    </row>
    <row r="30" spans="1:5" x14ac:dyDescent="0.25">
      <c r="A30" s="16" t="e">
        <f>VLOOKUP(B11,Client,4,FALSE)</f>
        <v>#N/A</v>
      </c>
      <c r="B30" s="17"/>
      <c r="D30" s="3" t="s">
        <v>137</v>
      </c>
      <c r="E30" s="9" t="e">
        <f>IF(E27&gt;450,E27*5%,0)</f>
        <v>#N/A</v>
      </c>
    </row>
    <row r="31" spans="1:5" x14ac:dyDescent="0.25">
      <c r="D31" s="3" t="s">
        <v>8</v>
      </c>
      <c r="E31" s="9" t="e">
        <f>SUM(E27:E29)-E30</f>
        <v>#N/A</v>
      </c>
    </row>
  </sheetData>
  <mergeCells count="8">
    <mergeCell ref="A29:B29"/>
    <mergeCell ref="A30:B30"/>
    <mergeCell ref="D2:E2"/>
    <mergeCell ref="D3:E3"/>
    <mergeCell ref="D4:E4"/>
    <mergeCell ref="D5:E5"/>
    <mergeCell ref="D6:E6"/>
    <mergeCell ref="A9:B9"/>
  </mergeCells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INVOICE</vt:lpstr>
      <vt:lpstr>STOCK LIST</vt:lpstr>
      <vt:lpstr>CLIENT LIST</vt:lpstr>
      <vt:lpstr>Invoice Macro</vt:lpstr>
      <vt:lpstr>Client</vt:lpstr>
      <vt:lpstr>STOCK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Lundy</dc:creator>
  <cp:lastModifiedBy>Tom Lundy</cp:lastModifiedBy>
  <cp:lastPrinted>2013-04-29T20:31:40Z</cp:lastPrinted>
  <dcterms:created xsi:type="dcterms:W3CDTF">2013-04-21T17:48:15Z</dcterms:created>
  <dcterms:modified xsi:type="dcterms:W3CDTF">2013-04-30T09:19:59Z</dcterms:modified>
</cp:coreProperties>
</file>